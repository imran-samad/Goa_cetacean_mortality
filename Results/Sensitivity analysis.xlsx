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ianinstituteofscience-my.sharepoint.com/personal/imransamad_iisc_ac_in/Documents/IISc files/IISC/Thesis/Quantifying cetacean bycatch/Analysis/Results/2025/"/>
    </mc:Choice>
  </mc:AlternateContent>
  <xr:revisionPtr revIDLastSave="125" documentId="8_{6F85FC45-5A49-4A26-A92D-6E149B93ED6B}" xr6:coauthVersionLast="47" xr6:coauthVersionMax="47" xr10:uidLastSave="{3676DF50-0C9E-49A3-A385-E58CBDD52B1E}"/>
  <bookViews>
    <workbookView xWindow="-108" yWindow="-108" windowWidth="23256" windowHeight="12456" xr2:uid="{A6D6A291-1AD5-41BB-AB31-DD4B39B1AE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21" i="1" l="1"/>
  <c r="N21" i="1" s="1"/>
  <c r="L20" i="1"/>
  <c r="N20" i="1" s="1"/>
  <c r="K20" i="1"/>
  <c r="M20" i="1" s="1"/>
  <c r="L19" i="1"/>
  <c r="N19" i="1" s="1"/>
  <c r="K19" i="1"/>
  <c r="M19" i="1" s="1"/>
  <c r="L15" i="1"/>
  <c r="N15" i="1" s="1"/>
  <c r="L14" i="1"/>
  <c r="N14" i="1" s="1"/>
  <c r="K14" i="1"/>
  <c r="M14" i="1" s="1"/>
  <c r="L13" i="1"/>
  <c r="N13" i="1" s="1"/>
  <c r="K13" i="1"/>
  <c r="M13" i="1" s="1"/>
</calcChain>
</file>

<file path=xl/sharedStrings.xml><?xml version="1.0" encoding="utf-8"?>
<sst xmlns="http://schemas.openxmlformats.org/spreadsheetml/2006/main" count="43" uniqueCount="27">
  <si>
    <t>IPFP</t>
  </si>
  <si>
    <t>IOHD</t>
  </si>
  <si>
    <t>23(0.8)</t>
  </si>
  <si>
    <t>25.6(0.9)</t>
  </si>
  <si>
    <t>28.8(1)</t>
  </si>
  <si>
    <t>28.6(1)</t>
  </si>
  <si>
    <t>p(floating)</t>
  </si>
  <si>
    <t>p(reporting)</t>
  </si>
  <si>
    <t>31.8(1.1)</t>
  </si>
  <si>
    <t>35.9(1.2)</t>
  </si>
  <si>
    <t>42(1.3)</t>
  </si>
  <si>
    <t>46.7(1.5)</t>
  </si>
  <si>
    <t>58.4(1.9)</t>
  </si>
  <si>
    <t>65.6(2.1)</t>
  </si>
  <si>
    <t>52.7(1.7)</t>
  </si>
  <si>
    <t>52.6(1.7)</t>
  </si>
  <si>
    <t>Indian Ocean humpback dolphin</t>
  </si>
  <si>
    <t>Indo-Pacific finless porpoise</t>
  </si>
  <si>
    <t>p(reporting), p(floating)</t>
  </si>
  <si>
    <t>1,1</t>
  </si>
  <si>
    <t>0.9,1</t>
  </si>
  <si>
    <t>0.8,1</t>
  </si>
  <si>
    <t>0.9,0.9</t>
  </si>
  <si>
    <t>0.8,0.9</t>
  </si>
  <si>
    <t>0.8,0.8</t>
  </si>
  <si>
    <t>Mortality estimate (SD)</t>
  </si>
  <si>
    <t>%increase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</si>
</sst>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1E600-A792-4D78-B06E-CCE47EE87D6A}">
  <dimension ref="E10:U21"/>
  <sheetViews>
    <sheetView tabSelected="1" topLeftCell="C8" workbookViewId="0">
      <selection activeCell="P10" sqref="P10:T17"/>
    </sheetView>
  </sheetViews>
  <sheetFormatPr defaultRowHeight="14.4" x14ac:dyDescent="0.3"/>
  <cols>
    <col min="5" max="5" width="10.33203125" bestFit="1" customWidth="1"/>
    <col min="16" max="16" width="19.44140625" bestFit="1" customWidth="1"/>
    <col min="17" max="17" width="19.109375" bestFit="1" customWidth="1"/>
    <col min="18" max="18" width="9.5546875" bestFit="1" customWidth="1"/>
    <col min="19" max="19" width="19.109375" bestFit="1" customWidth="1"/>
    <col min="20" max="20" width="9.5546875" bestFit="1" customWidth="1"/>
  </cols>
  <sheetData>
    <row r="10" spans="5:20" x14ac:dyDescent="0.3">
      <c r="E10" s="4" t="s">
        <v>16</v>
      </c>
      <c r="F10" s="5"/>
      <c r="G10" s="5"/>
      <c r="H10" s="5"/>
      <c r="I10" s="6"/>
      <c r="P10" s="1"/>
      <c r="Q10" s="2" t="s">
        <v>1</v>
      </c>
      <c r="R10" s="2"/>
      <c r="S10" s="2" t="s">
        <v>0</v>
      </c>
      <c r="T10" s="2"/>
    </row>
    <row r="11" spans="5:20" x14ac:dyDescent="0.3">
      <c r="E11" s="2"/>
      <c r="F11" s="2"/>
      <c r="G11" s="2" t="s">
        <v>6</v>
      </c>
      <c r="H11" s="2"/>
      <c r="I11" s="2"/>
      <c r="P11" s="1" t="s">
        <v>18</v>
      </c>
      <c r="Q11" s="1" t="s">
        <v>25</v>
      </c>
      <c r="R11" s="1" t="s">
        <v>26</v>
      </c>
      <c r="S11" s="1" t="s">
        <v>25</v>
      </c>
      <c r="T11" s="1" t="s">
        <v>26</v>
      </c>
    </row>
    <row r="12" spans="5:20" ht="14.4" customHeight="1" x14ac:dyDescent="0.3">
      <c r="E12" s="2"/>
      <c r="F12" s="2"/>
      <c r="G12" s="1">
        <v>1</v>
      </c>
      <c r="H12" s="1">
        <v>0.9</v>
      </c>
      <c r="I12" s="1">
        <v>0.8</v>
      </c>
      <c r="P12" s="1" t="s">
        <v>19</v>
      </c>
      <c r="Q12" s="1" t="s">
        <v>10</v>
      </c>
      <c r="R12" s="7">
        <v>0</v>
      </c>
      <c r="S12" s="1" t="s">
        <v>2</v>
      </c>
      <c r="T12" s="7">
        <v>0</v>
      </c>
    </row>
    <row r="13" spans="5:20" x14ac:dyDescent="0.3">
      <c r="E13" s="3" t="s">
        <v>7</v>
      </c>
      <c r="F13" s="1">
        <v>1</v>
      </c>
      <c r="G13" s="1" t="s">
        <v>10</v>
      </c>
      <c r="H13" s="1" t="s">
        <v>11</v>
      </c>
      <c r="I13" s="1" t="s">
        <v>15</v>
      </c>
      <c r="K13">
        <f>(46.7-42)/42</f>
        <v>0.11190476190476198</v>
      </c>
      <c r="L13">
        <f>(52.6-42)/42</f>
        <v>0.25238095238095243</v>
      </c>
      <c r="M13">
        <f>ROUND(K13,2)</f>
        <v>0.11</v>
      </c>
      <c r="N13">
        <f>ROUND(L13,2)</f>
        <v>0.25</v>
      </c>
      <c r="P13" s="1" t="s">
        <v>20</v>
      </c>
      <c r="Q13" s="1" t="s">
        <v>11</v>
      </c>
      <c r="R13" s="7">
        <v>0.11</v>
      </c>
      <c r="S13" s="1" t="s">
        <v>3</v>
      </c>
      <c r="T13" s="7">
        <v>0.11</v>
      </c>
    </row>
    <row r="14" spans="5:20" x14ac:dyDescent="0.3">
      <c r="E14" s="3"/>
      <c r="F14" s="1">
        <v>0.9</v>
      </c>
      <c r="G14" s="1"/>
      <c r="H14" s="1" t="s">
        <v>14</v>
      </c>
      <c r="I14" s="1" t="s">
        <v>12</v>
      </c>
      <c r="K14">
        <f>(52.6-42)/42</f>
        <v>0.25238095238095243</v>
      </c>
      <c r="L14">
        <f>(58.4-42)/42</f>
        <v>0.39047619047619042</v>
      </c>
      <c r="M14">
        <f t="shared" ref="M14" si="0">ROUND(K14,2)</f>
        <v>0.25</v>
      </c>
      <c r="N14">
        <f t="shared" ref="N14:N15" si="1">ROUND(L14,2)</f>
        <v>0.39</v>
      </c>
      <c r="P14" s="1" t="s">
        <v>21</v>
      </c>
      <c r="Q14" s="1" t="s">
        <v>15</v>
      </c>
      <c r="R14" s="7">
        <v>0.25</v>
      </c>
      <c r="S14" s="1" t="s">
        <v>4</v>
      </c>
      <c r="T14" s="7">
        <v>0.25</v>
      </c>
    </row>
    <row r="15" spans="5:20" x14ac:dyDescent="0.3">
      <c r="E15" s="3"/>
      <c r="F15" s="1">
        <v>0.8</v>
      </c>
      <c r="G15" s="1"/>
      <c r="H15" s="1"/>
      <c r="I15" s="1" t="s">
        <v>13</v>
      </c>
      <c r="L15">
        <f>(65.6-42)/42</f>
        <v>0.5619047619047618</v>
      </c>
      <c r="N15">
        <f t="shared" si="1"/>
        <v>0.56000000000000005</v>
      </c>
      <c r="P15" s="1" t="s">
        <v>22</v>
      </c>
      <c r="Q15" s="1" t="s">
        <v>14</v>
      </c>
      <c r="R15" s="7">
        <v>0.25</v>
      </c>
      <c r="S15" s="1" t="s">
        <v>5</v>
      </c>
      <c r="T15" s="7">
        <v>0.25</v>
      </c>
    </row>
    <row r="16" spans="5:20" x14ac:dyDescent="0.3">
      <c r="E16" s="4" t="s">
        <v>17</v>
      </c>
      <c r="F16" s="5"/>
      <c r="G16" s="5"/>
      <c r="H16" s="5"/>
      <c r="I16" s="6"/>
      <c r="P16" s="1" t="s">
        <v>23</v>
      </c>
      <c r="Q16" s="1" t="s">
        <v>12</v>
      </c>
      <c r="R16" s="7">
        <v>0.39</v>
      </c>
      <c r="S16" s="1" t="s">
        <v>8</v>
      </c>
      <c r="T16" s="7">
        <v>0.38</v>
      </c>
    </row>
    <row r="17" spans="5:21" x14ac:dyDescent="0.3">
      <c r="E17" s="2"/>
      <c r="F17" s="2"/>
      <c r="G17" s="2" t="s">
        <v>6</v>
      </c>
      <c r="H17" s="2"/>
      <c r="I17" s="2"/>
      <c r="P17" s="1" t="s">
        <v>24</v>
      </c>
      <c r="Q17" s="1" t="s">
        <v>13</v>
      </c>
      <c r="R17" s="7">
        <v>0.56000000000000005</v>
      </c>
      <c r="S17" s="1" t="s">
        <v>9</v>
      </c>
      <c r="T17" s="7">
        <v>0.56000000000000005</v>
      </c>
    </row>
    <row r="18" spans="5:21" x14ac:dyDescent="0.3">
      <c r="E18" s="2"/>
      <c r="F18" s="2"/>
      <c r="G18" s="1">
        <v>1</v>
      </c>
      <c r="H18" s="1">
        <v>0.9</v>
      </c>
      <c r="I18" s="1">
        <v>0.8</v>
      </c>
    </row>
    <row r="19" spans="5:21" x14ac:dyDescent="0.3">
      <c r="E19" s="3" t="s">
        <v>7</v>
      </c>
      <c r="F19" s="1">
        <v>1</v>
      </c>
      <c r="G19" s="1" t="s">
        <v>2</v>
      </c>
      <c r="H19" s="1" t="s">
        <v>3</v>
      </c>
      <c r="I19" s="1" t="s">
        <v>4</v>
      </c>
      <c r="K19">
        <f>(25.6-23)/23</f>
        <v>0.11304347826086962</v>
      </c>
      <c r="L19">
        <f>(28.8-23)/23</f>
        <v>0.2521739130434783</v>
      </c>
      <c r="M19">
        <f>ROUND(K19,2)</f>
        <v>0.11</v>
      </c>
      <c r="N19">
        <f>ROUND(L19,2)</f>
        <v>0.25</v>
      </c>
      <c r="S19" s="1"/>
      <c r="T19" s="1"/>
      <c r="U19" s="1"/>
    </row>
    <row r="20" spans="5:21" x14ac:dyDescent="0.3">
      <c r="E20" s="3"/>
      <c r="F20" s="1">
        <v>0.9</v>
      </c>
      <c r="G20" s="1"/>
      <c r="H20" s="1" t="s">
        <v>5</v>
      </c>
      <c r="I20" s="1" t="s">
        <v>8</v>
      </c>
      <c r="K20">
        <f>(28.8-23)/23</f>
        <v>0.2521739130434783</v>
      </c>
      <c r="L20">
        <f>(31.8-23)/23</f>
        <v>0.38260869565217392</v>
      </c>
      <c r="M20">
        <f t="shared" ref="M20:M21" si="2">ROUND(K20,2)</f>
        <v>0.25</v>
      </c>
      <c r="N20">
        <f t="shared" ref="N20:N21" si="3">ROUND(L20,2)</f>
        <v>0.38</v>
      </c>
      <c r="S20" s="1"/>
      <c r="T20" s="1"/>
      <c r="U20" s="1"/>
    </row>
    <row r="21" spans="5:21" x14ac:dyDescent="0.3">
      <c r="E21" s="3"/>
      <c r="F21" s="1">
        <v>0.8</v>
      </c>
      <c r="G21" s="1"/>
      <c r="H21" s="1"/>
      <c r="I21" s="1" t="s">
        <v>9</v>
      </c>
      <c r="L21">
        <f>(35.9-23)/23</f>
        <v>0.56086956521739129</v>
      </c>
      <c r="N21">
        <f t="shared" si="3"/>
        <v>0.56000000000000005</v>
      </c>
      <c r="S21" s="1"/>
      <c r="T21" s="1"/>
      <c r="U21" s="1"/>
    </row>
  </sheetData>
  <mergeCells count="10">
    <mergeCell ref="Q10:R10"/>
    <mergeCell ref="S10:T10"/>
    <mergeCell ref="E13:E15"/>
    <mergeCell ref="G11:I11"/>
    <mergeCell ref="E11:F12"/>
    <mergeCell ref="E17:F18"/>
    <mergeCell ref="E16:I16"/>
    <mergeCell ref="E10:I10"/>
    <mergeCell ref="E19:E21"/>
    <mergeCell ref="G17:I17"/>
  </mergeCells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Imran Samad</dc:creator>
  <cp:lastModifiedBy>Imran Samad</cp:lastModifiedBy>
  <dcterms:created xsi:type="dcterms:W3CDTF">2026-06-13T06:03:37Z</dcterms:created>
  <dcterms:modified xsi:type="dcterms:W3CDTF">2026-06-13T06:49:06Z</dcterms:modified>
</cp:coreProperties>
</file>